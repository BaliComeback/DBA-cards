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Inventario" sheetId="2" state="visible" r:id="rId2"/>
  </sheets>
  <definedNames>
    <definedName name="_xlnm._FilterDatabase" localSheetId="1" hidden="1">'Inventario'!$A$1:$F$87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2C3E50"/>
      <sz val="12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pivotButton="0" quotePrefix="0" xfId="0"/>
    <xf numFmtId="0" fontId="3" fillId="2" borderId="0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/>
    </xf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3" fontId="5" fillId="4" borderId="1" applyAlignment="1" pivotButton="0" quotePrefix="0" xfId="0">
      <alignment horizontal="right"/>
    </xf>
    <xf numFmtId="0" fontId="0" fillId="0" borderId="2" pivotButton="0" quotePrefix="0" xfId="0"/>
    <xf numFmtId="3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51" customWidth="1" min="3" max="3"/>
  </cols>
  <sheetData>
    <row r="1">
      <c r="A1" s="1" t="inlineStr">
        <is>
          <t>PORTAFOLIO CONTROL DE INVENTARIO - TARJETAS DE BÉISBOL</t>
        </is>
      </c>
    </row>
    <row r="2"/>
    <row r="3">
      <c r="A3" s="2" t="inlineStr">
        <is>
          <t>Indicadores Principales</t>
        </is>
      </c>
    </row>
    <row r="4">
      <c r="A4" s="3" t="inlineStr">
        <is>
          <t>Indicador</t>
        </is>
      </c>
      <c r="B4" s="4" t="inlineStr">
        <is>
          <t>Valor Numérico</t>
        </is>
      </c>
      <c r="C4" s="3" t="inlineStr">
        <is>
          <t>Descripción del Portafolio</t>
        </is>
      </c>
    </row>
    <row r="5">
      <c r="A5" s="5" t="inlineStr">
        <is>
          <t>Volumen Total de Tarjetas</t>
        </is>
      </c>
      <c r="B5" s="6">
        <f>SUM(Inventario!F2:F86)</f>
        <v/>
      </c>
      <c r="C5" s="7" t="inlineStr">
        <is>
          <t>Cantidad total acumulada de tarjetas físicas.</t>
        </is>
      </c>
    </row>
    <row r="6">
      <c r="A6" s="5" t="inlineStr">
        <is>
          <t>Modelos Únicos</t>
        </is>
      </c>
      <c r="B6" s="6">
        <f>COUNTA(Inventario!B2:B86)</f>
        <v/>
      </c>
      <c r="C6" s="7" t="inlineStr">
        <is>
          <t>Variantes individuales sin repetir.</t>
        </is>
      </c>
    </row>
    <row r="7">
      <c r="A7" s="5" t="inlineStr">
        <is>
          <t>Miembros del Salón de la Fama (HOF)</t>
        </is>
      </c>
      <c r="B7" s="6">
        <f>COUNTIF(Inventario!E2:E86, "*HOF*")</f>
        <v/>
      </c>
      <c r="C7" s="7" t="inlineStr">
        <is>
          <t>Tarjetas de jugadores consagrados de alto valor.</t>
        </is>
      </c>
    </row>
    <row r="8">
      <c r="A8" s="5" t="inlineStr">
        <is>
          <t>Tarjetas de Novato (Rookie)</t>
        </is>
      </c>
      <c r="B8" s="6">
        <f>COUNTIF(Inventario!E2:E86, "*Rookie*")</f>
        <v/>
      </c>
      <c r="C8" s="7" t="inlineStr">
        <is>
          <t>Tarjetas de primer año o prospecto clave.</t>
        </is>
      </c>
    </row>
    <row r="9"/>
    <row r="10"/>
    <row r="11">
      <c r="A11" s="2" t="inlineStr">
        <is>
          <t>Distribución por Franquicia</t>
        </is>
      </c>
    </row>
    <row r="12">
      <c r="A12" s="3" t="inlineStr">
        <is>
          <t>Equipo / Franquicia</t>
        </is>
      </c>
      <c r="B12" s="8" t="inlineStr">
        <is>
          <t>Tarjetas en Álbum</t>
        </is>
      </c>
      <c r="C12" s="8" t="inlineStr">
        <is>
          <t>Participación %</t>
        </is>
      </c>
    </row>
    <row r="13">
      <c r="A13" s="5" t="inlineStr">
        <is>
          <t>Chicago Cubs</t>
        </is>
      </c>
      <c r="B13" s="6">
        <f>COUNTIF(Inventario!A2:A86, "Chicago Cubs")</f>
        <v/>
      </c>
      <c r="C13" s="9">
        <f>B13/B5</f>
        <v/>
      </c>
    </row>
    <row r="14">
      <c r="A14" s="5" t="inlineStr">
        <is>
          <t>New York Yankees</t>
        </is>
      </c>
      <c r="B14" s="6">
        <f>COUNTIF(Inventario!A2:A86, "New York Yankees")</f>
        <v/>
      </c>
      <c r="C14" s="9">
        <f>B14/B5</f>
        <v/>
      </c>
    </row>
    <row r="15">
      <c r="A15" s="10" t="inlineStr">
        <is>
          <t>Total</t>
        </is>
      </c>
      <c r="B15" s="11">
        <f>SUM(B13:B14)</f>
        <v/>
      </c>
      <c r="C15" s="12">
        <f>SUM(C13:C14)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18" customWidth="1" min="3" max="3"/>
    <col width="12" customWidth="1" min="4" max="4"/>
    <col width="16" customWidth="1" min="5" max="5"/>
    <col width="12" customWidth="1" min="6" max="6"/>
  </cols>
  <sheetData>
    <row r="1">
      <c r="A1" s="3" t="inlineStr">
        <is>
          <t>Equipo</t>
        </is>
      </c>
      <c r="B1" s="3" t="inlineStr">
        <is>
          <t>Jugador</t>
        </is>
      </c>
      <c r="C1" s="3" t="inlineStr">
        <is>
          <t>Marca / Año</t>
        </is>
      </c>
      <c r="D1" s="4" t="inlineStr">
        <is>
          <t>Número</t>
        </is>
      </c>
      <c r="E1" s="3" t="inlineStr">
        <is>
          <t>Categoría</t>
        </is>
      </c>
      <c r="F1" s="4" t="inlineStr">
        <is>
          <t>Cantidad</t>
        </is>
      </c>
    </row>
    <row r="2">
      <c r="A2" s="13" t="inlineStr">
        <is>
          <t>Chicago Cubs</t>
        </is>
      </c>
      <c r="B2" s="13" t="inlineStr">
        <is>
          <t>Andre Dawson</t>
        </is>
      </c>
      <c r="C2" s="13" t="inlineStr">
        <is>
          <t>Upper Deck 1992</t>
        </is>
      </c>
      <c r="D2" s="14" t="inlineStr">
        <is>
          <t>361</t>
        </is>
      </c>
      <c r="E2" s="13" t="inlineStr">
        <is>
          <t>HOF</t>
        </is>
      </c>
      <c r="F2" s="15" t="n">
        <v>1</v>
      </c>
    </row>
    <row r="3">
      <c r="A3" s="16" t="inlineStr">
        <is>
          <t>Chicago Cubs</t>
        </is>
      </c>
      <c r="B3" s="16" t="inlineStr">
        <is>
          <t>Andre Dawson</t>
        </is>
      </c>
      <c r="C3" s="16" t="inlineStr">
        <is>
          <t>Topps 1990</t>
        </is>
      </c>
      <c r="D3" s="17" t="inlineStr">
        <is>
          <t>300</t>
        </is>
      </c>
      <c r="E3" s="16" t="inlineStr">
        <is>
          <t>HOF</t>
        </is>
      </c>
      <c r="F3" s="18" t="n">
        <v>1</v>
      </c>
    </row>
    <row r="4">
      <c r="A4" s="13" t="inlineStr">
        <is>
          <t>Chicago Cubs</t>
        </is>
      </c>
      <c r="B4" s="13" t="inlineStr">
        <is>
          <t>Andre Dawson</t>
        </is>
      </c>
      <c r="C4" s="13" t="inlineStr">
        <is>
          <t>Upper Deck 1990</t>
        </is>
      </c>
      <c r="D4" s="14" t="inlineStr">
        <is>
          <t>325</t>
        </is>
      </c>
      <c r="E4" s="13" t="inlineStr">
        <is>
          <t>HOF</t>
        </is>
      </c>
      <c r="F4" s="15" t="n">
        <v>1</v>
      </c>
    </row>
    <row r="5">
      <c r="A5" s="16" t="inlineStr">
        <is>
          <t>Chicago Cubs</t>
        </is>
      </c>
      <c r="B5" s="16" t="inlineStr">
        <is>
          <t>Andre Dawson (All-Star Game)</t>
        </is>
      </c>
      <c r="C5" s="16" t="inlineStr">
        <is>
          <t>Upper Deck 1991</t>
        </is>
      </c>
      <c r="D5" s="17" t="inlineStr">
        <is>
          <t>353</t>
        </is>
      </c>
      <c r="E5" s="16" t="inlineStr">
        <is>
          <t>HOF</t>
        </is>
      </c>
      <c r="F5" s="18" t="n">
        <v>1</v>
      </c>
    </row>
    <row r="6">
      <c r="A6" s="13" t="inlineStr">
        <is>
          <t>Chicago Cubs</t>
        </is>
      </c>
      <c r="B6" s="13" t="inlineStr">
        <is>
          <t>Andre Dawson (All-Star)</t>
        </is>
      </c>
      <c r="C6" s="13" t="inlineStr">
        <is>
          <t>Topps 1989</t>
        </is>
      </c>
      <c r="D6" s="14" t="inlineStr">
        <is>
          <t>350</t>
        </is>
      </c>
      <c r="E6" s="13" t="inlineStr">
        <is>
          <t>HOF</t>
        </is>
      </c>
      <c r="F6" s="15" t="n">
        <v>1</v>
      </c>
    </row>
    <row r="7">
      <c r="A7" s="16" t="inlineStr">
        <is>
          <t>Chicago Cubs</t>
        </is>
      </c>
      <c r="B7" s="16" t="inlineStr">
        <is>
          <t>Andre Dawson (All-Star)</t>
        </is>
      </c>
      <c r="C7" s="16" t="inlineStr">
        <is>
          <t>Topps 1988</t>
        </is>
      </c>
      <c r="D7" s="17" t="inlineStr">
        <is>
          <t>750</t>
        </is>
      </c>
      <c r="E7" s="16" t="inlineStr">
        <is>
          <t>HOF</t>
        </is>
      </c>
      <c r="F7" s="18" t="n">
        <v>1</v>
      </c>
    </row>
    <row r="8">
      <c r="A8" s="13" t="inlineStr">
        <is>
          <t>Chicago Cubs</t>
        </is>
      </c>
      <c r="B8" s="13" t="inlineStr">
        <is>
          <t>Andre Dawson (MVP)</t>
        </is>
      </c>
      <c r="C8" s="13" t="inlineStr">
        <is>
          <t>Donruss 1989</t>
        </is>
      </c>
      <c r="D8" s="14" t="inlineStr">
        <is>
          <t>3</t>
        </is>
      </c>
      <c r="E8" s="13" t="inlineStr">
        <is>
          <t>HOF / Inserto</t>
        </is>
      </c>
      <c r="F8" s="15" t="n">
        <v>1</v>
      </c>
    </row>
    <row r="9">
      <c r="A9" s="16" t="inlineStr">
        <is>
          <t>Chicago Cubs</t>
        </is>
      </c>
      <c r="B9" s="16" t="inlineStr">
        <is>
          <t>Andre Dawson (Record Breaker)</t>
        </is>
      </c>
      <c r="C9" s="16" t="inlineStr">
        <is>
          <t>Topps 1988</t>
        </is>
      </c>
      <c r="D9" s="17" t="inlineStr">
        <is>
          <t>5</t>
        </is>
      </c>
      <c r="E9" s="16" t="inlineStr">
        <is>
          <t>HOF / Inserto</t>
        </is>
      </c>
      <c r="F9" s="18" t="n">
        <v>1</v>
      </c>
    </row>
    <row r="10">
      <c r="A10" s="13" t="inlineStr">
        <is>
          <t>Chicago Cubs</t>
        </is>
      </c>
      <c r="B10" s="13" t="inlineStr">
        <is>
          <t>Dennis Martínez</t>
        </is>
      </c>
      <c r="C10" s="13" t="inlineStr">
        <is>
          <t>Upper Deck 1991</t>
        </is>
      </c>
      <c r="D10" s="14" t="inlineStr">
        <is>
          <t>45</t>
        </is>
      </c>
      <c r="E10" s="13" t="inlineStr">
        <is>
          <t>HOF</t>
        </is>
      </c>
      <c r="F10" s="15" t="n">
        <v>1</v>
      </c>
    </row>
    <row r="11">
      <c r="A11" s="16" t="inlineStr">
        <is>
          <t>Chicago Cubs</t>
        </is>
      </c>
      <c r="B11" s="16" t="inlineStr">
        <is>
          <t>Goose Gossage</t>
        </is>
      </c>
      <c r="C11" s="16" t="inlineStr">
        <is>
          <t>Score 1989</t>
        </is>
      </c>
      <c r="D11" s="17" t="inlineStr">
        <is>
          <t>115</t>
        </is>
      </c>
      <c r="E11" s="16" t="inlineStr">
        <is>
          <t>HOF</t>
        </is>
      </c>
      <c r="F11" s="18" t="n">
        <v>1</v>
      </c>
    </row>
    <row r="12">
      <c r="A12" s="13" t="inlineStr">
        <is>
          <t>Chicago Cubs</t>
        </is>
      </c>
      <c r="B12" s="13" t="inlineStr">
        <is>
          <t>Greg Maddux</t>
        </is>
      </c>
      <c r="C12" s="13" t="inlineStr">
        <is>
          <t>Topps 1991</t>
        </is>
      </c>
      <c r="D12" s="14" t="inlineStr">
        <is>
          <t>50</t>
        </is>
      </c>
      <c r="E12" s="13" t="inlineStr">
        <is>
          <t>HOF</t>
        </is>
      </c>
      <c r="F12" s="15" t="n">
        <v>1</v>
      </c>
    </row>
    <row r="13">
      <c r="A13" s="16" t="inlineStr">
        <is>
          <t>Chicago Cubs</t>
        </is>
      </c>
      <c r="B13" s="16" t="inlineStr">
        <is>
          <t>Greg Maddux</t>
        </is>
      </c>
      <c r="C13" s="16" t="inlineStr">
        <is>
          <t>Upper Deck 1990</t>
        </is>
      </c>
      <c r="D13" s="17" t="inlineStr">
        <is>
          <t>52</t>
        </is>
      </c>
      <c r="E13" s="16" t="inlineStr">
        <is>
          <t>HOF</t>
        </is>
      </c>
      <c r="F13" s="18" t="n">
        <v>1</v>
      </c>
    </row>
    <row r="14">
      <c r="A14" s="13" t="inlineStr">
        <is>
          <t>Chicago Cubs</t>
        </is>
      </c>
      <c r="B14" s="13" t="inlineStr">
        <is>
          <t>Greg Maddux</t>
        </is>
      </c>
      <c r="C14" s="13" t="inlineStr">
        <is>
          <t>Score 1989</t>
        </is>
      </c>
      <c r="D14" s="14" t="inlineStr">
        <is>
          <t>420</t>
        </is>
      </c>
      <c r="E14" s="13" t="inlineStr">
        <is>
          <t>HOF</t>
        </is>
      </c>
      <c r="F14" s="15" t="n">
        <v>1</v>
      </c>
    </row>
    <row r="15">
      <c r="A15" s="16" t="inlineStr">
        <is>
          <t>Chicago Cubs</t>
        </is>
      </c>
      <c r="B15" s="16" t="inlineStr">
        <is>
          <t>Greg Maddux</t>
        </is>
      </c>
      <c r="C15" s="16" t="inlineStr">
        <is>
          <t>Topps 1988</t>
        </is>
      </c>
      <c r="D15" s="17" t="inlineStr">
        <is>
          <t>361</t>
        </is>
      </c>
      <c r="E15" s="16" t="inlineStr">
        <is>
          <t>HOF</t>
        </is>
      </c>
      <c r="F15" s="18" t="n">
        <v>1</v>
      </c>
    </row>
    <row r="16">
      <c r="A16" s="13" t="inlineStr">
        <is>
          <t>Chicago Cubs</t>
        </is>
      </c>
      <c r="B16" s="13" t="inlineStr">
        <is>
          <t>Rafael Palmeiro</t>
        </is>
      </c>
      <c r="C16" s="13" t="inlineStr">
        <is>
          <t>Topps 1987</t>
        </is>
      </c>
      <c r="D16" s="14" t="inlineStr">
        <is>
          <t>634</t>
        </is>
      </c>
      <c r="E16" s="13" t="inlineStr">
        <is>
          <t>Rookie</t>
        </is>
      </c>
      <c r="F16" s="15" t="n">
        <v>1</v>
      </c>
    </row>
    <row r="17">
      <c r="A17" s="16" t="inlineStr">
        <is>
          <t>Chicago Cubs</t>
        </is>
      </c>
      <c r="B17" s="16" t="inlineStr">
        <is>
          <t>Joe Girardi</t>
        </is>
      </c>
      <c r="C17" s="16" t="inlineStr">
        <is>
          <t>Upper Deck 1990</t>
        </is>
      </c>
      <c r="D17" s="17" t="inlineStr">
        <is>
          <t>112</t>
        </is>
      </c>
      <c r="E17" s="16" t="inlineStr">
        <is>
          <t>Rookie</t>
        </is>
      </c>
      <c r="F17" s="18" t="n">
        <v>1</v>
      </c>
    </row>
    <row r="18">
      <c r="A18" s="13" t="inlineStr">
        <is>
          <t>Chicago Cubs</t>
        </is>
      </c>
      <c r="B18" s="13" t="inlineStr">
        <is>
          <t>Mark Grace</t>
        </is>
      </c>
      <c r="C18" s="13" t="inlineStr">
        <is>
          <t>Score 1989</t>
        </is>
      </c>
      <c r="D18" s="14" t="inlineStr">
        <is>
          <t>105</t>
        </is>
      </c>
      <c r="E18" s="13" t="inlineStr">
        <is>
          <t>Estrella</t>
        </is>
      </c>
      <c r="F18" s="15" t="n">
        <v>1</v>
      </c>
    </row>
    <row r="19">
      <c r="A19" s="16" t="inlineStr">
        <is>
          <t>Chicago Cubs</t>
        </is>
      </c>
      <c r="B19" s="16" t="inlineStr">
        <is>
          <t>Mark Grace</t>
        </is>
      </c>
      <c r="C19" s="16" t="inlineStr">
        <is>
          <t>Upper Deck 1990</t>
        </is>
      </c>
      <c r="D19" s="17" t="inlineStr">
        <is>
          <t>18</t>
        </is>
      </c>
      <c r="E19" s="16" t="inlineStr">
        <is>
          <t>Estrella</t>
        </is>
      </c>
      <c r="F19" s="18" t="n">
        <v>1</v>
      </c>
    </row>
    <row r="20">
      <c r="A20" s="13" t="inlineStr">
        <is>
          <t>Chicago Cubs</t>
        </is>
      </c>
      <c r="B20" s="13" t="inlineStr">
        <is>
          <t>Mark Grace</t>
        </is>
      </c>
      <c r="C20" s="13" t="inlineStr">
        <is>
          <t>Topps 1989</t>
        </is>
      </c>
      <c r="D20" s="14" t="inlineStr">
        <is>
          <t>365</t>
        </is>
      </c>
      <c r="E20" s="13" t="inlineStr">
        <is>
          <t>Estrella</t>
        </is>
      </c>
      <c r="F20" s="15" t="n">
        <v>1</v>
      </c>
    </row>
    <row r="21">
      <c r="A21" s="16" t="inlineStr">
        <is>
          <t>Chicago Cubs</t>
        </is>
      </c>
      <c r="B21" s="16" t="inlineStr">
        <is>
          <t>Mark Grace</t>
        </is>
      </c>
      <c r="C21" s="16" t="inlineStr">
        <is>
          <t>Donruss 1989</t>
        </is>
      </c>
      <c r="D21" s="17" t="inlineStr">
        <is>
          <t>115</t>
        </is>
      </c>
      <c r="E21" s="16" t="inlineStr">
        <is>
          <t>Estrella</t>
        </is>
      </c>
      <c r="F21" s="18" t="n">
        <v>1</v>
      </c>
    </row>
    <row r="22">
      <c r="A22" s="13" t="inlineStr">
        <is>
          <t>Chicago Cubs</t>
        </is>
      </c>
      <c r="B22" s="13" t="inlineStr">
        <is>
          <t>Rafael Palmeiro</t>
        </is>
      </c>
      <c r="C22" s="13" t="inlineStr">
        <is>
          <t>Topps 1988</t>
        </is>
      </c>
      <c r="D22" s="14" t="inlineStr">
        <is>
          <t>450</t>
        </is>
      </c>
      <c r="E22" s="13" t="inlineStr">
        <is>
          <t>Estrella</t>
        </is>
      </c>
      <c r="F22" s="15" t="n">
        <v>1</v>
      </c>
    </row>
    <row r="23">
      <c r="A23" s="16" t="inlineStr">
        <is>
          <t>Chicago Cubs</t>
        </is>
      </c>
      <c r="B23" s="16" t="inlineStr">
        <is>
          <t>Melido Pérez</t>
        </is>
      </c>
      <c r="C23" s="16" t="inlineStr">
        <is>
          <t>Donruss 1988</t>
        </is>
      </c>
      <c r="D23" s="17" t="inlineStr">
        <is>
          <t>23</t>
        </is>
      </c>
      <c r="E23" s="16" t="inlineStr">
        <is>
          <t>Inserto</t>
        </is>
      </c>
      <c r="F23" s="18" t="n">
        <v>1</v>
      </c>
    </row>
    <row r="24">
      <c r="A24" s="13" t="inlineStr">
        <is>
          <t>Chicago Cubs</t>
        </is>
      </c>
      <c r="B24" s="13" t="inlineStr">
        <is>
          <t>Bob Dernier</t>
        </is>
      </c>
      <c r="C24" s="13" t="inlineStr">
        <is>
          <t>Topps 1986</t>
        </is>
      </c>
      <c r="D24" s="14" t="inlineStr">
        <is>
          <t>74</t>
        </is>
      </c>
      <c r="E24" s="13" t="inlineStr">
        <is>
          <t>Base</t>
        </is>
      </c>
      <c r="F24" s="15" t="n">
        <v>1</v>
      </c>
    </row>
    <row r="25">
      <c r="A25" s="16" t="inlineStr">
        <is>
          <t>Chicago Cubs</t>
        </is>
      </c>
      <c r="B25" s="16" t="inlineStr">
        <is>
          <t>Brian Dayett</t>
        </is>
      </c>
      <c r="C25" s="16" t="inlineStr">
        <is>
          <t>Topps 1986</t>
        </is>
      </c>
      <c r="D25" s="17" t="inlineStr">
        <is>
          <t>637</t>
        </is>
      </c>
      <c r="E25" s="16" t="inlineStr">
        <is>
          <t>Base</t>
        </is>
      </c>
      <c r="F25" s="18" t="n">
        <v>1</v>
      </c>
    </row>
    <row r="26">
      <c r="A26" s="13" t="inlineStr">
        <is>
          <t>Chicago Cubs</t>
        </is>
      </c>
      <c r="B26" s="13" t="inlineStr">
        <is>
          <t>Damon Berryhill</t>
        </is>
      </c>
      <c r="C26" s="13" t="inlineStr">
        <is>
          <t>Topps 1991</t>
        </is>
      </c>
      <c r="D26" s="14" t="inlineStr">
        <is>
          <t>545</t>
        </is>
      </c>
      <c r="E26" s="13" t="inlineStr">
        <is>
          <t>Base</t>
        </is>
      </c>
      <c r="F26" s="15" t="n">
        <v>1</v>
      </c>
    </row>
    <row r="27">
      <c r="A27" s="16" t="inlineStr">
        <is>
          <t>Chicago Cubs</t>
        </is>
      </c>
      <c r="B27" s="16" t="inlineStr">
        <is>
          <t>Dave Clark</t>
        </is>
      </c>
      <c r="C27" s="16" t="inlineStr">
        <is>
          <t>Upper Deck 1991</t>
        </is>
      </c>
      <c r="D27" s="17" t="inlineStr">
        <is>
          <t>337</t>
        </is>
      </c>
      <c r="E27" s="16" t="inlineStr">
        <is>
          <t>Base</t>
        </is>
      </c>
      <c r="F27" s="18" t="n">
        <v>1</v>
      </c>
    </row>
    <row r="28">
      <c r="A28" s="13" t="inlineStr">
        <is>
          <t>Chicago Cubs</t>
        </is>
      </c>
      <c r="B28" s="13" t="inlineStr">
        <is>
          <t>Doug Dascenzo</t>
        </is>
      </c>
      <c r="C28" s="13" t="inlineStr">
        <is>
          <t>Upper Deck 1990</t>
        </is>
      </c>
      <c r="D28" s="14" t="inlineStr">
        <is>
          <t>126</t>
        </is>
      </c>
      <c r="E28" s="13" t="inlineStr">
        <is>
          <t>Base</t>
        </is>
      </c>
      <c r="F28" s="15" t="n">
        <v>1</v>
      </c>
    </row>
    <row r="29">
      <c r="A29" s="16" t="inlineStr">
        <is>
          <t>Chicago Cubs</t>
        </is>
      </c>
      <c r="B29" s="16" t="inlineStr">
        <is>
          <t>Earl Cunningham</t>
        </is>
      </c>
      <c r="C29" s="16" t="inlineStr">
        <is>
          <t>Score 1990</t>
        </is>
      </c>
      <c r="D29" s="17" t="inlineStr">
        <is>
          <t>10</t>
        </is>
      </c>
      <c r="E29" s="16" t="inlineStr">
        <is>
          <t>Base</t>
        </is>
      </c>
      <c r="F29" s="18" t="n">
        <v>1</v>
      </c>
    </row>
    <row r="30">
      <c r="A30" s="13" t="inlineStr">
        <is>
          <t>Chicago Cubs</t>
        </is>
      </c>
      <c r="B30" s="13" t="inlineStr">
        <is>
          <t>Frank DiPino</t>
        </is>
      </c>
      <c r="C30" s="13" t="inlineStr">
        <is>
          <t>Donruss 1989</t>
        </is>
      </c>
      <c r="D30" s="14" t="inlineStr">
        <is>
          <t>533</t>
        </is>
      </c>
      <c r="E30" s="13" t="inlineStr">
        <is>
          <t>Base</t>
        </is>
      </c>
      <c r="F30" s="15" t="n">
        <v>1</v>
      </c>
    </row>
    <row r="31">
      <c r="A31" s="16" t="inlineStr">
        <is>
          <t>Chicago Cubs</t>
        </is>
      </c>
      <c r="B31" s="16" t="inlineStr">
        <is>
          <t>Frank DiPino</t>
        </is>
      </c>
      <c r="C31" s="16" t="inlineStr">
        <is>
          <t>Topps 1990</t>
        </is>
      </c>
      <c r="D31" s="17" t="inlineStr">
        <is>
          <t>431</t>
        </is>
      </c>
      <c r="E31" s="16" t="inlineStr">
        <is>
          <t>Base</t>
        </is>
      </c>
      <c r="F31" s="18" t="n">
        <v>1</v>
      </c>
    </row>
    <row r="32">
      <c r="A32" s="13" t="inlineStr">
        <is>
          <t>Chicago Cubs</t>
        </is>
      </c>
      <c r="B32" s="13" t="inlineStr">
        <is>
          <t>Frank DiPino</t>
        </is>
      </c>
      <c r="C32" s="13" t="inlineStr">
        <is>
          <t>Topps 1988</t>
        </is>
      </c>
      <c r="D32" s="14" t="inlineStr">
        <is>
          <t>463</t>
        </is>
      </c>
      <c r="E32" s="13" t="inlineStr">
        <is>
          <t>Base</t>
        </is>
      </c>
      <c r="F32" s="15" t="n">
        <v>1</v>
      </c>
    </row>
    <row r="33">
      <c r="A33" s="16" t="inlineStr">
        <is>
          <t>Chicago Cubs</t>
        </is>
      </c>
      <c r="B33" s="16" t="inlineStr">
        <is>
          <t>Frank DiPino</t>
        </is>
      </c>
      <c r="C33" s="16" t="inlineStr">
        <is>
          <t>Upper Deck 1990</t>
        </is>
      </c>
      <c r="D33" s="17" t="inlineStr">
        <is>
          <t>154</t>
        </is>
      </c>
      <c r="E33" s="16" t="inlineStr">
        <is>
          <t>Base</t>
        </is>
      </c>
      <c r="F33" s="18" t="n">
        <v>1</v>
      </c>
    </row>
    <row r="34">
      <c r="A34" s="13" t="inlineStr">
        <is>
          <t>Chicago Cubs</t>
        </is>
      </c>
      <c r="B34" s="13" t="inlineStr">
        <is>
          <t>Jamie Moyer</t>
        </is>
      </c>
      <c r="C34" s="13" t="inlineStr">
        <is>
          <t>Topps 1988</t>
        </is>
      </c>
      <c r="D34" s="14" t="inlineStr">
        <is>
          <t>256</t>
        </is>
      </c>
      <c r="E34" s="13" t="inlineStr">
        <is>
          <t>Base</t>
        </is>
      </c>
      <c r="F34" s="15" t="n">
        <v>1</v>
      </c>
    </row>
    <row r="35">
      <c r="A35" s="16" t="inlineStr">
        <is>
          <t>Chicago Cubs</t>
        </is>
      </c>
      <c r="B35" s="16" t="inlineStr">
        <is>
          <t>Jody Davis</t>
        </is>
      </c>
      <c r="C35" s="16" t="inlineStr">
        <is>
          <t>Topps 1986</t>
        </is>
      </c>
      <c r="D35" s="17" t="inlineStr">
        <is>
          <t>195</t>
        </is>
      </c>
      <c r="E35" s="16" t="inlineStr">
        <is>
          <t>Base</t>
        </is>
      </c>
      <c r="F35" s="18" t="n">
        <v>1</v>
      </c>
    </row>
    <row r="36">
      <c r="A36" s="13" t="inlineStr">
        <is>
          <t>Chicago Cubs</t>
        </is>
      </c>
      <c r="B36" s="13" t="inlineStr">
        <is>
          <t>Jody Davis</t>
        </is>
      </c>
      <c r="C36" s="13" t="inlineStr">
        <is>
          <t>Topps 1988</t>
        </is>
      </c>
      <c r="D36" s="14" t="inlineStr">
        <is>
          <t>445</t>
        </is>
      </c>
      <c r="E36" s="13" t="inlineStr">
        <is>
          <t>Base</t>
        </is>
      </c>
      <c r="F36" s="15" t="n">
        <v>2</v>
      </c>
    </row>
    <row r="37">
      <c r="A37" s="16" t="inlineStr">
        <is>
          <t>Chicago Cubs</t>
        </is>
      </c>
      <c r="B37" s="16" t="inlineStr">
        <is>
          <t>Keith Moreland</t>
        </is>
      </c>
      <c r="C37" s="16" t="inlineStr">
        <is>
          <t>Topps 1986</t>
        </is>
      </c>
      <c r="D37" s="17" t="inlineStr">
        <is>
          <t>440</t>
        </is>
      </c>
      <c r="E37" s="16" t="inlineStr">
        <is>
          <t>Base</t>
        </is>
      </c>
      <c r="F37" s="18" t="n">
        <v>1</v>
      </c>
    </row>
    <row r="38">
      <c r="A38" s="13" t="inlineStr">
        <is>
          <t>Chicago Cubs</t>
        </is>
      </c>
      <c r="B38" s="13" t="inlineStr">
        <is>
          <t>Kevin Gross</t>
        </is>
      </c>
      <c r="C38" s="13" t="inlineStr">
        <is>
          <t>Upper Deck 1991</t>
        </is>
      </c>
      <c r="D38" s="14" t="inlineStr">
        <is>
          <t>102</t>
        </is>
      </c>
      <c r="E38" s="13" t="inlineStr">
        <is>
          <t>Base</t>
        </is>
      </c>
      <c r="F38" s="15" t="n">
        <v>1</v>
      </c>
    </row>
    <row r="39">
      <c r="A39" s="16" t="inlineStr">
        <is>
          <t>Chicago Cubs</t>
        </is>
      </c>
      <c r="B39" s="16" t="inlineStr">
        <is>
          <t>Lance Dickson (Future Star)</t>
        </is>
      </c>
      <c r="C39" s="16" t="inlineStr">
        <is>
          <t>Topps 1991</t>
        </is>
      </c>
      <c r="D39" s="17" t="inlineStr">
        <is>
          <t>33</t>
        </is>
      </c>
      <c r="E39" s="16" t="inlineStr">
        <is>
          <t>Base</t>
        </is>
      </c>
      <c r="F39" s="18" t="n">
        <v>2</v>
      </c>
    </row>
    <row r="40">
      <c r="A40" s="13" t="inlineStr">
        <is>
          <t>Chicago Cubs</t>
        </is>
      </c>
      <c r="B40" s="13" t="inlineStr">
        <is>
          <t>Leon Durham</t>
        </is>
      </c>
      <c r="C40" s="13" t="inlineStr">
        <is>
          <t>Topps 1987</t>
        </is>
      </c>
      <c r="D40" s="14" t="inlineStr">
        <is>
          <t>685</t>
        </is>
      </c>
      <c r="E40" s="13" t="inlineStr">
        <is>
          <t>Base</t>
        </is>
      </c>
      <c r="F40" s="15" t="n">
        <v>1</v>
      </c>
    </row>
    <row r="41">
      <c r="A41" s="16" t="inlineStr">
        <is>
          <t>Chicago Cubs</t>
        </is>
      </c>
      <c r="B41" s="16" t="inlineStr">
        <is>
          <t>Leon Durham</t>
        </is>
      </c>
      <c r="C41" s="16" t="inlineStr">
        <is>
          <t>Topps 1986</t>
        </is>
      </c>
      <c r="D41" s="17" t="inlineStr">
        <is>
          <t>410</t>
        </is>
      </c>
      <c r="E41" s="16" t="inlineStr">
        <is>
          <t>Base</t>
        </is>
      </c>
      <c r="F41" s="18" t="n">
        <v>2</v>
      </c>
    </row>
    <row r="42">
      <c r="A42" s="13" t="inlineStr">
        <is>
          <t>Chicago Cubs</t>
        </is>
      </c>
      <c r="B42" s="13" t="inlineStr">
        <is>
          <t>Jerry Mumphrey</t>
        </is>
      </c>
      <c r="C42" s="13" t="inlineStr">
        <is>
          <t>Topps 1986</t>
        </is>
      </c>
      <c r="D42" s="14" t="inlineStr">
        <is>
          <t>212</t>
        </is>
      </c>
      <c r="E42" s="13" t="inlineStr">
        <is>
          <t>Base</t>
        </is>
      </c>
      <c r="F42" s="15" t="n">
        <v>1</v>
      </c>
    </row>
    <row r="43">
      <c r="A43" s="16" t="inlineStr">
        <is>
          <t>Chicago Cubs</t>
        </is>
      </c>
      <c r="B43" s="16" t="inlineStr">
        <is>
          <t>Mike Harkey</t>
        </is>
      </c>
      <c r="C43" s="16" t="inlineStr">
        <is>
          <t>Score 1989</t>
        </is>
      </c>
      <c r="D43" s="17" t="inlineStr">
        <is>
          <t>19</t>
        </is>
      </c>
      <c r="E43" s="16" t="inlineStr">
        <is>
          <t>Base</t>
        </is>
      </c>
      <c r="F43" s="18" t="n">
        <v>1</v>
      </c>
    </row>
    <row r="44">
      <c r="A44" s="13" t="inlineStr">
        <is>
          <t>Chicago Cubs</t>
        </is>
      </c>
      <c r="B44" s="13" t="inlineStr">
        <is>
          <t>Mike Harkey</t>
        </is>
      </c>
      <c r="C44" s="13" t="inlineStr">
        <is>
          <t>Upper Deck 1990</t>
        </is>
      </c>
      <c r="D44" s="14" t="inlineStr">
        <is>
          <t>12</t>
        </is>
      </c>
      <c r="E44" s="13" t="inlineStr">
        <is>
          <t>Base</t>
        </is>
      </c>
      <c r="F44" s="15" t="n">
        <v>1</v>
      </c>
    </row>
    <row r="45">
      <c r="A45" s="16" t="inlineStr">
        <is>
          <t>Chicago Cubs</t>
        </is>
      </c>
      <c r="B45" s="16" t="inlineStr">
        <is>
          <t>Paul Assenmacher</t>
        </is>
      </c>
      <c r="C45" s="16" t="inlineStr">
        <is>
          <t>Upper Deck 1990</t>
        </is>
      </c>
      <c r="D45" s="17" t="inlineStr">
        <is>
          <t>158</t>
        </is>
      </c>
      <c r="E45" s="16" t="inlineStr">
        <is>
          <t>Base</t>
        </is>
      </c>
      <c r="F45" s="18" t="n">
        <v>1</v>
      </c>
    </row>
    <row r="46">
      <c r="A46" s="13" t="inlineStr">
        <is>
          <t>Chicago Cubs</t>
        </is>
      </c>
      <c r="B46" s="13" t="inlineStr">
        <is>
          <t>Paul Assenmacher</t>
        </is>
      </c>
      <c r="C46" s="13" t="inlineStr">
        <is>
          <t>Topps 1990</t>
        </is>
      </c>
      <c r="D46" s="14" t="inlineStr">
        <is>
          <t>322</t>
        </is>
      </c>
      <c r="E46" s="13" t="inlineStr">
        <is>
          <t>Base</t>
        </is>
      </c>
      <c r="F46" s="15" t="n">
        <v>1</v>
      </c>
    </row>
    <row r="47">
      <c r="A47" s="16" t="inlineStr">
        <is>
          <t>Chicago Cubs</t>
        </is>
      </c>
      <c r="B47" s="16" t="inlineStr">
        <is>
          <t>Shawon Dunston</t>
        </is>
      </c>
      <c r="C47" s="16" t="inlineStr">
        <is>
          <t>Donruss 1989</t>
        </is>
      </c>
      <c r="D47" s="17" t="inlineStr">
        <is>
          <t>246</t>
        </is>
      </c>
      <c r="E47" s="16" t="inlineStr">
        <is>
          <t>Base</t>
        </is>
      </c>
      <c r="F47" s="18" t="n">
        <v>2</v>
      </c>
    </row>
    <row r="48">
      <c r="A48" s="13" t="inlineStr">
        <is>
          <t>Chicago Cubs</t>
        </is>
      </c>
      <c r="B48" s="13" t="inlineStr">
        <is>
          <t>Thad Bosley</t>
        </is>
      </c>
      <c r="C48" s="13" t="inlineStr">
        <is>
          <t>Topps 1987</t>
        </is>
      </c>
      <c r="D48" s="14" t="inlineStr">
        <is>
          <t>574</t>
        </is>
      </c>
      <c r="E48" s="13" t="inlineStr">
        <is>
          <t>Base</t>
        </is>
      </c>
      <c r="F48" s="15" t="n">
        <v>1</v>
      </c>
    </row>
    <row r="49">
      <c r="A49" s="16" t="inlineStr">
        <is>
          <t>New York Yankees</t>
        </is>
      </c>
      <c r="B49" s="16" t="inlineStr">
        <is>
          <t>Don Mattingly</t>
        </is>
      </c>
      <c r="C49" s="16" t="inlineStr">
        <is>
          <t>Topps 1990</t>
        </is>
      </c>
      <c r="D49" s="17" t="inlineStr">
        <is>
          <t>200</t>
        </is>
      </c>
      <c r="E49" s="16" t="inlineStr">
        <is>
          <t>Estrella</t>
        </is>
      </c>
      <c r="F49" s="18" t="n">
        <v>1</v>
      </c>
    </row>
    <row r="50">
      <c r="A50" s="13" t="inlineStr">
        <is>
          <t>New York Yankees</t>
        </is>
      </c>
      <c r="B50" s="13" t="inlineStr">
        <is>
          <t>Don Mattingly</t>
        </is>
      </c>
      <c r="C50" s="13" t="inlineStr">
        <is>
          <t>Upper Deck 1990</t>
        </is>
      </c>
      <c r="D50" s="14" t="inlineStr">
        <is>
          <t>354</t>
        </is>
      </c>
      <c r="E50" s="13" t="inlineStr">
        <is>
          <t>Estrella</t>
        </is>
      </c>
      <c r="F50" s="15" t="n">
        <v>1</v>
      </c>
    </row>
    <row r="51">
      <c r="A51" s="16" t="inlineStr">
        <is>
          <t>New York Yankees</t>
        </is>
      </c>
      <c r="B51" s="16" t="inlineStr">
        <is>
          <t>Don Mattingly</t>
        </is>
      </c>
      <c r="C51" s="16" t="inlineStr">
        <is>
          <t>Topps 1988</t>
        </is>
      </c>
      <c r="D51" s="17" t="inlineStr">
        <is>
          <t>100</t>
        </is>
      </c>
      <c r="E51" s="16" t="inlineStr">
        <is>
          <t>Estrella</t>
        </is>
      </c>
      <c r="F51" s="18" t="n">
        <v>1</v>
      </c>
    </row>
    <row r="52">
      <c r="A52" s="13" t="inlineStr">
        <is>
          <t>New York Yankees</t>
        </is>
      </c>
      <c r="B52" s="13" t="inlineStr">
        <is>
          <t>Don Mattingly (Hit Man)</t>
        </is>
      </c>
      <c r="C52" s="13" t="inlineStr">
        <is>
          <t>Topps 1988</t>
        </is>
      </c>
      <c r="D52" s="14" t="inlineStr">
        <is>
          <t>2</t>
        </is>
      </c>
      <c r="E52" s="13" t="inlineStr">
        <is>
          <t>Inserto</t>
        </is>
      </c>
      <c r="F52" s="15" t="n">
        <v>1</v>
      </c>
    </row>
    <row r="53">
      <c r="A53" s="16" t="inlineStr">
        <is>
          <t>New York Yankees</t>
        </is>
      </c>
      <c r="B53" s="16" t="inlineStr">
        <is>
          <t>Dave Righetti (AL Leaders)</t>
        </is>
      </c>
      <c r="C53" s="16" t="inlineStr">
        <is>
          <t>Topps 1987</t>
        </is>
      </c>
      <c r="D53" s="17" t="inlineStr">
        <is>
          <t>616</t>
        </is>
      </c>
      <c r="E53" s="16" t="inlineStr">
        <is>
          <t>Inserto</t>
        </is>
      </c>
      <c r="F53" s="18" t="n">
        <v>1</v>
      </c>
    </row>
    <row r="54">
      <c r="A54" s="13" t="inlineStr">
        <is>
          <t>New York Yankees</t>
        </is>
      </c>
      <c r="B54" s="13" t="inlineStr">
        <is>
          <t>Bob Tewksbury</t>
        </is>
      </c>
      <c r="C54" s="13" t="inlineStr">
        <is>
          <t>Topps 1987</t>
        </is>
      </c>
      <c r="D54" s="14" t="inlineStr">
        <is>
          <t>123</t>
        </is>
      </c>
      <c r="E54" s="13" t="inlineStr">
        <is>
          <t>Base</t>
        </is>
      </c>
      <c r="F54" s="15" t="n">
        <v>2</v>
      </c>
    </row>
    <row r="55">
      <c r="A55" s="16" t="inlineStr">
        <is>
          <t>New York Yankees</t>
        </is>
      </c>
      <c r="B55" s="16" t="inlineStr">
        <is>
          <t>Bobby Meacham</t>
        </is>
      </c>
      <c r="C55" s="16" t="inlineStr">
        <is>
          <t>Topps 1989</t>
        </is>
      </c>
      <c r="D55" s="17" t="inlineStr">
        <is>
          <t>659</t>
        </is>
      </c>
      <c r="E55" s="16" t="inlineStr">
        <is>
          <t>Base</t>
        </is>
      </c>
      <c r="F55" s="18" t="n">
        <v>1</v>
      </c>
    </row>
    <row r="56">
      <c r="A56" s="13" t="inlineStr">
        <is>
          <t>New York Yankees</t>
        </is>
      </c>
      <c r="B56" s="13" t="inlineStr">
        <is>
          <t>Bobby Meacham</t>
        </is>
      </c>
      <c r="C56" s="13" t="inlineStr">
        <is>
          <t>Upper Deck 1989</t>
        </is>
      </c>
      <c r="D56" s="14" t="inlineStr">
        <is>
          <t>77</t>
        </is>
      </c>
      <c r="E56" s="13" t="inlineStr">
        <is>
          <t>Base</t>
        </is>
      </c>
      <c r="F56" s="15" t="n">
        <v>1</v>
      </c>
    </row>
    <row r="57">
      <c r="A57" s="16" t="inlineStr">
        <is>
          <t>New York Yankees</t>
        </is>
      </c>
      <c r="B57" s="16" t="inlineStr">
        <is>
          <t>Clay Parker</t>
        </is>
      </c>
      <c r="C57" s="16" t="inlineStr">
        <is>
          <t>Topps 1990</t>
        </is>
      </c>
      <c r="D57" s="17" t="inlineStr">
        <is>
          <t>511</t>
        </is>
      </c>
      <c r="E57" s="16" t="inlineStr">
        <is>
          <t>Base</t>
        </is>
      </c>
      <c r="F57" s="18" t="n">
        <v>1</v>
      </c>
    </row>
    <row r="58">
      <c r="A58" s="13" t="inlineStr">
        <is>
          <t>New York Yankees</t>
        </is>
      </c>
      <c r="B58" s="13" t="inlineStr">
        <is>
          <t>David West</t>
        </is>
      </c>
      <c r="C58" s="13" t="inlineStr">
        <is>
          <t>Upper Deck 1990</t>
        </is>
      </c>
      <c r="D58" s="14" t="inlineStr">
        <is>
          <t>158</t>
        </is>
      </c>
      <c r="E58" s="13" t="inlineStr">
        <is>
          <t>Base</t>
        </is>
      </c>
      <c r="F58" s="15" t="n">
        <v>2</v>
      </c>
    </row>
    <row r="59">
      <c r="A59" s="16" t="inlineStr">
        <is>
          <t>New York Yankees</t>
        </is>
      </c>
      <c r="B59" s="16" t="inlineStr">
        <is>
          <t>Don Slaught</t>
        </is>
      </c>
      <c r="C59" s="16" t="inlineStr">
        <is>
          <t>Upper Deck 1991</t>
        </is>
      </c>
      <c r="D59" s="17" t="inlineStr">
        <is>
          <t>602</t>
        </is>
      </c>
      <c r="E59" s="16" t="inlineStr">
        <is>
          <t>Base</t>
        </is>
      </c>
      <c r="F59" s="18" t="n">
        <v>1</v>
      </c>
    </row>
    <row r="60">
      <c r="A60" s="13" t="inlineStr">
        <is>
          <t>New York Yankees</t>
        </is>
      </c>
      <c r="B60" s="13" t="inlineStr">
        <is>
          <t>Don Slaught</t>
        </is>
      </c>
      <c r="C60" s="13" t="inlineStr">
        <is>
          <t>Donruss 1989</t>
        </is>
      </c>
      <c r="D60" s="14" t="inlineStr">
        <is>
          <t>178</t>
        </is>
      </c>
      <c r="E60" s="13" t="inlineStr">
        <is>
          <t>Base</t>
        </is>
      </c>
      <c r="F60" s="15" t="n">
        <v>1</v>
      </c>
    </row>
    <row r="61">
      <c r="A61" s="16" t="inlineStr">
        <is>
          <t>New York Yankees</t>
        </is>
      </c>
      <c r="B61" s="16" t="inlineStr">
        <is>
          <t>Hal Morris</t>
        </is>
      </c>
      <c r="C61" s="16" t="inlineStr">
        <is>
          <t>Topps 1990</t>
        </is>
      </c>
      <c r="D61" s="17" t="inlineStr">
        <is>
          <t>236</t>
        </is>
      </c>
      <c r="E61" s="16" t="inlineStr">
        <is>
          <t>Base</t>
        </is>
      </c>
      <c r="F61" s="18" t="n">
        <v>1</v>
      </c>
    </row>
    <row r="62">
      <c r="A62" s="13" t="inlineStr">
        <is>
          <t>New York Yankees</t>
        </is>
      </c>
      <c r="B62" s="13" t="inlineStr">
        <is>
          <t>Hensley Meulens</t>
        </is>
      </c>
      <c r="C62" s="13" t="inlineStr">
        <is>
          <t>Topps 1990</t>
        </is>
      </c>
      <c r="D62" s="14" t="inlineStr">
        <is>
          <t>547</t>
        </is>
      </c>
      <c r="E62" s="13" t="inlineStr">
        <is>
          <t>Base</t>
        </is>
      </c>
      <c r="F62" s="15" t="n">
        <v>1</v>
      </c>
    </row>
    <row r="63">
      <c r="A63" s="16" t="inlineStr">
        <is>
          <t>New York Yankees</t>
        </is>
      </c>
      <c r="B63" s="16" t="inlineStr">
        <is>
          <t>Hensley Meulens</t>
        </is>
      </c>
      <c r="C63" s="16" t="inlineStr">
        <is>
          <t>Topps 1991</t>
        </is>
      </c>
      <c r="D63" s="17" t="inlineStr">
        <is>
          <t>675</t>
        </is>
      </c>
      <c r="E63" s="16" t="inlineStr">
        <is>
          <t>Base</t>
        </is>
      </c>
      <c r="F63" s="18" t="n">
        <v>1</v>
      </c>
    </row>
    <row r="64">
      <c r="A64" s="13" t="inlineStr">
        <is>
          <t>New York Yankees</t>
        </is>
      </c>
      <c r="B64" s="13" t="inlineStr">
        <is>
          <t>Hensley Meulens</t>
        </is>
      </c>
      <c r="C64" s="13" t="inlineStr">
        <is>
          <t>Upper Deck 1991</t>
        </is>
      </c>
      <c r="D64" s="14" t="inlineStr">
        <is>
          <t>696</t>
        </is>
      </c>
      <c r="E64" s="13" t="inlineStr">
        <is>
          <t>Base</t>
        </is>
      </c>
      <c r="F64" s="15" t="n">
        <v>1</v>
      </c>
    </row>
    <row r="65">
      <c r="A65" s="16" t="inlineStr">
        <is>
          <t>New York Yankees</t>
        </is>
      </c>
      <c r="B65" s="16" t="inlineStr">
        <is>
          <t>Jeff Robinson</t>
        </is>
      </c>
      <c r="C65" s="16" t="inlineStr">
        <is>
          <t>Topps 1990</t>
        </is>
      </c>
      <c r="D65" s="17" t="inlineStr">
        <is>
          <t>678</t>
        </is>
      </c>
      <c r="E65" s="16" t="inlineStr">
        <is>
          <t>Base</t>
        </is>
      </c>
      <c r="F65" s="18" t="n">
        <v>1</v>
      </c>
    </row>
    <row r="66">
      <c r="A66" s="13" t="inlineStr">
        <is>
          <t>New York Yankees</t>
        </is>
      </c>
      <c r="B66" s="13" t="inlineStr">
        <is>
          <t>Jerry Royster</t>
        </is>
      </c>
      <c r="C66" s="13" t="inlineStr">
        <is>
          <t>Topps 1988</t>
        </is>
      </c>
      <c r="D66" s="14" t="inlineStr">
        <is>
          <t>257</t>
        </is>
      </c>
      <c r="E66" s="13" t="inlineStr">
        <is>
          <t>Base</t>
        </is>
      </c>
      <c r="F66" s="15" t="n">
        <v>1</v>
      </c>
    </row>
    <row r="67">
      <c r="A67" s="16" t="inlineStr">
        <is>
          <t>New York Yankees</t>
        </is>
      </c>
      <c r="B67" s="16" t="inlineStr">
        <is>
          <t>Ken Phelps</t>
        </is>
      </c>
      <c r="C67" s="16" t="inlineStr">
        <is>
          <t>Upper Deck 1989</t>
        </is>
      </c>
      <c r="D67" s="17" t="inlineStr">
        <is>
          <t>167</t>
        </is>
      </c>
      <c r="E67" s="16" t="inlineStr">
        <is>
          <t>Base</t>
        </is>
      </c>
      <c r="F67" s="18" t="n">
        <v>1</v>
      </c>
    </row>
    <row r="68">
      <c r="A68" s="13" t="inlineStr">
        <is>
          <t>New York Yankees</t>
        </is>
      </c>
      <c r="B68" s="13" t="inlineStr">
        <is>
          <t>Kevin Maas</t>
        </is>
      </c>
      <c r="C68" s="13" t="inlineStr">
        <is>
          <t>Upper Deck 1991</t>
        </is>
      </c>
      <c r="D68" s="14" t="inlineStr">
        <is>
          <t>594</t>
        </is>
      </c>
      <c r="E68" s="13" t="inlineStr">
        <is>
          <t>Base</t>
        </is>
      </c>
      <c r="F68" s="15" t="n">
        <v>1</v>
      </c>
    </row>
    <row r="69">
      <c r="A69" s="16" t="inlineStr">
        <is>
          <t>New York Yankees</t>
        </is>
      </c>
      <c r="B69" s="16" t="inlineStr">
        <is>
          <t>Lenn Sakata</t>
        </is>
      </c>
      <c r="C69" s="16" t="inlineStr">
        <is>
          <t>Topps 1986</t>
        </is>
      </c>
      <c r="D69" s="17" t="inlineStr">
        <is>
          <t>716</t>
        </is>
      </c>
      <c r="E69" s="16" t="inlineStr">
        <is>
          <t>Base</t>
        </is>
      </c>
      <c r="F69" s="18" t="n">
        <v>1</v>
      </c>
    </row>
    <row r="70">
      <c r="A70" s="13" t="inlineStr">
        <is>
          <t>New York Yankees</t>
        </is>
      </c>
      <c r="B70" s="13" t="inlineStr">
        <is>
          <t>Matt Nokes</t>
        </is>
      </c>
      <c r="C70" s="13" t="inlineStr">
        <is>
          <t>Upper Deck 1991</t>
        </is>
      </c>
      <c r="D70" s="14" t="inlineStr">
        <is>
          <t>295</t>
        </is>
      </c>
      <c r="E70" s="13" t="inlineStr">
        <is>
          <t>Base</t>
        </is>
      </c>
      <c r="F70" s="15" t="n">
        <v>1</v>
      </c>
    </row>
    <row r="71">
      <c r="A71" s="16" t="inlineStr">
        <is>
          <t>New York Yankees</t>
        </is>
      </c>
      <c r="B71" s="16" t="inlineStr">
        <is>
          <t>Matt Nokes</t>
        </is>
      </c>
      <c r="C71" s="16" t="inlineStr">
        <is>
          <t>Upper Deck 1990</t>
        </is>
      </c>
      <c r="D71" s="17" t="inlineStr">
        <is>
          <t>744</t>
        </is>
      </c>
      <c r="E71" s="16" t="inlineStr">
        <is>
          <t>Base</t>
        </is>
      </c>
      <c r="F71" s="18" t="n">
        <v>1</v>
      </c>
    </row>
    <row r="72">
      <c r="A72" s="13" t="inlineStr">
        <is>
          <t>New York Yankees</t>
        </is>
      </c>
      <c r="B72" s="13" t="inlineStr">
        <is>
          <t>Matt Nokes</t>
        </is>
      </c>
      <c r="C72" s="13" t="inlineStr">
        <is>
          <t>Upper Deck 1991</t>
        </is>
      </c>
      <c r="D72" s="14" t="inlineStr">
        <is>
          <t>673</t>
        </is>
      </c>
      <c r="E72" s="13" t="inlineStr">
        <is>
          <t>Base</t>
        </is>
      </c>
      <c r="F72" s="15" t="n">
        <v>1</v>
      </c>
    </row>
    <row r="73">
      <c r="A73" s="16" t="inlineStr">
        <is>
          <t>New York Yankees</t>
        </is>
      </c>
      <c r="B73" s="16" t="inlineStr">
        <is>
          <t>Matt Nokes</t>
        </is>
      </c>
      <c r="C73" s="16" t="inlineStr">
        <is>
          <t>Topps 1989</t>
        </is>
      </c>
      <c r="D73" s="17" t="inlineStr">
        <is>
          <t>336</t>
        </is>
      </c>
      <c r="E73" s="16" t="inlineStr">
        <is>
          <t>Base</t>
        </is>
      </c>
      <c r="F73" s="18" t="n">
        <v>1</v>
      </c>
    </row>
    <row r="74">
      <c r="A74" s="13" t="inlineStr">
        <is>
          <t>New York Yankees</t>
        </is>
      </c>
      <c r="B74" s="13" t="inlineStr">
        <is>
          <t>Pascual Pérez</t>
        </is>
      </c>
      <c r="C74" s="13" t="inlineStr">
        <is>
          <t>Upper Deck 1991</t>
        </is>
      </c>
      <c r="D74" s="14" t="inlineStr">
        <is>
          <t>671</t>
        </is>
      </c>
      <c r="E74" s="13" t="inlineStr">
        <is>
          <t>Base</t>
        </is>
      </c>
      <c r="F74" s="15" t="n">
        <v>1</v>
      </c>
    </row>
    <row r="75">
      <c r="A75" s="16" t="inlineStr">
        <is>
          <t>New York Yankees</t>
        </is>
      </c>
      <c r="B75" s="16" t="inlineStr">
        <is>
          <t>Pascual Pérez</t>
        </is>
      </c>
      <c r="C75" s="16" t="inlineStr">
        <is>
          <t>Upper Deck 1991</t>
        </is>
      </c>
      <c r="D75" s="17" t="inlineStr">
        <is>
          <t>769</t>
        </is>
      </c>
      <c r="E75" s="16" t="inlineStr">
        <is>
          <t>Base</t>
        </is>
      </c>
      <c r="F75" s="18" t="n">
        <v>1</v>
      </c>
    </row>
    <row r="76">
      <c r="A76" s="13" t="inlineStr">
        <is>
          <t>New York Yankees</t>
        </is>
      </c>
      <c r="B76" s="13" t="inlineStr">
        <is>
          <t>Rafael Santana</t>
        </is>
      </c>
      <c r="C76" s="13" t="inlineStr">
        <is>
          <t>Score 1989</t>
        </is>
      </c>
      <c r="D76" s="14" t="inlineStr">
        <is>
          <t>296</t>
        </is>
      </c>
      <c r="E76" s="13" t="inlineStr">
        <is>
          <t>Base</t>
        </is>
      </c>
      <c r="F76" s="15" t="n">
        <v>1</v>
      </c>
    </row>
    <row r="77">
      <c r="A77" s="16" t="inlineStr">
        <is>
          <t>New York Yankees</t>
        </is>
      </c>
      <c r="B77" s="16" t="inlineStr">
        <is>
          <t>Rick Rhoden</t>
        </is>
      </c>
      <c r="C77" s="16" t="inlineStr">
        <is>
          <t>Topps 1988</t>
        </is>
      </c>
      <c r="D77" s="17" t="inlineStr">
        <is>
          <t>185</t>
        </is>
      </c>
      <c r="E77" s="16" t="inlineStr">
        <is>
          <t>Base</t>
        </is>
      </c>
      <c r="F77" s="18" t="n">
        <v>1</v>
      </c>
    </row>
    <row r="78">
      <c r="A78" s="13" t="inlineStr">
        <is>
          <t>New York Yankees</t>
        </is>
      </c>
      <c r="B78" s="13" t="inlineStr">
        <is>
          <t>Scott Sanderson</t>
        </is>
      </c>
      <c r="C78" s="13" t="inlineStr">
        <is>
          <t>Upper Deck 1991</t>
        </is>
      </c>
      <c r="D78" s="14" t="inlineStr">
        <is>
          <t>415</t>
        </is>
      </c>
      <c r="E78" s="13" t="inlineStr">
        <is>
          <t>Base</t>
        </is>
      </c>
      <c r="F78" s="15" t="n">
        <v>1</v>
      </c>
    </row>
    <row r="79">
      <c r="A79" s="16" t="inlineStr">
        <is>
          <t>New York Yankees</t>
        </is>
      </c>
      <c r="B79" s="16" t="inlineStr">
        <is>
          <t>Steve Sax</t>
        </is>
      </c>
      <c r="C79" s="16" t="inlineStr">
        <is>
          <t>Topps 1991</t>
        </is>
      </c>
      <c r="D79" s="17" t="inlineStr">
        <is>
          <t>40</t>
        </is>
      </c>
      <c r="E79" s="16" t="inlineStr">
        <is>
          <t>Base</t>
        </is>
      </c>
      <c r="F79" s="18" t="n">
        <v>1</v>
      </c>
    </row>
    <row r="80">
      <c r="A80" s="13" t="inlineStr">
        <is>
          <t>New York Yankees</t>
        </is>
      </c>
      <c r="B80" s="13" t="inlineStr">
        <is>
          <t>Steve Sax</t>
        </is>
      </c>
      <c r="C80" s="13" t="inlineStr">
        <is>
          <t>Upper Deck 1991</t>
        </is>
      </c>
      <c r="D80" s="14" t="inlineStr">
        <is>
          <t>112</t>
        </is>
      </c>
      <c r="E80" s="13" t="inlineStr">
        <is>
          <t>Base</t>
        </is>
      </c>
      <c r="F80" s="15" t="n">
        <v>1</v>
      </c>
    </row>
    <row r="81">
      <c r="A81" s="16" t="inlineStr">
        <is>
          <t>New York Yankees</t>
        </is>
      </c>
      <c r="B81" s="16" t="inlineStr">
        <is>
          <t>Steve Sax</t>
        </is>
      </c>
      <c r="C81" s="16" t="inlineStr">
        <is>
          <t>Upper Deck 1990</t>
        </is>
      </c>
      <c r="D81" s="17" t="inlineStr">
        <is>
          <t>25</t>
        </is>
      </c>
      <c r="E81" s="16" t="inlineStr">
        <is>
          <t>Base</t>
        </is>
      </c>
      <c r="F81" s="18" t="n">
        <v>3</v>
      </c>
    </row>
    <row r="82">
      <c r="A82" s="13" t="inlineStr">
        <is>
          <t>New York Yankees</t>
        </is>
      </c>
      <c r="B82" s="13" t="inlineStr">
        <is>
          <t>Steve Trout</t>
        </is>
      </c>
      <c r="C82" s="13" t="inlineStr">
        <is>
          <t>Topps 1988</t>
        </is>
      </c>
      <c r="D82" s="14" t="inlineStr">
        <is>
          <t>456</t>
        </is>
      </c>
      <c r="E82" s="13" t="inlineStr">
        <is>
          <t>Base</t>
        </is>
      </c>
      <c r="F82" s="15" t="n">
        <v>1</v>
      </c>
    </row>
    <row r="83">
      <c r="A83" s="16" t="inlineStr">
        <is>
          <t>New York Yankees</t>
        </is>
      </c>
      <c r="B83" s="16" t="inlineStr">
        <is>
          <t>Team Leaders / Stump Merrill</t>
        </is>
      </c>
      <c r="C83" s="16" t="inlineStr">
        <is>
          <t>Topps 1991</t>
        </is>
      </c>
      <c r="D83" s="17" t="inlineStr">
        <is>
          <t>429</t>
        </is>
      </c>
      <c r="E83" s="16" t="inlineStr">
        <is>
          <t>Base</t>
        </is>
      </c>
      <c r="F83" s="18" t="n">
        <v>1</v>
      </c>
    </row>
    <row r="84">
      <c r="A84" s="13" t="inlineStr">
        <is>
          <t>New York Yankees</t>
        </is>
      </c>
      <c r="B84" s="13" t="inlineStr">
        <is>
          <t>Tim Stoddard</t>
        </is>
      </c>
      <c r="C84" s="13" t="inlineStr">
        <is>
          <t>Topps 1986</t>
        </is>
      </c>
      <c r="D84" s="14" t="inlineStr">
        <is>
          <t>469</t>
        </is>
      </c>
      <c r="E84" s="13" t="inlineStr">
        <is>
          <t>Base</t>
        </is>
      </c>
      <c r="F84" s="15" t="n">
        <v>1</v>
      </c>
    </row>
    <row r="85">
      <c r="A85" s="16" t="inlineStr">
        <is>
          <t>New York Yankees</t>
        </is>
      </c>
      <c r="B85" s="16" t="inlineStr">
        <is>
          <t>Tim Stoddard</t>
        </is>
      </c>
      <c r="C85" s="16" t="inlineStr">
        <is>
          <t>Donruss 1987</t>
        </is>
      </c>
      <c r="D85" s="17" t="inlineStr">
        <is>
          <t>569</t>
        </is>
      </c>
      <c r="E85" s="16" t="inlineStr">
        <is>
          <t>Base</t>
        </is>
      </c>
      <c r="F85" s="18" t="n">
        <v>1</v>
      </c>
    </row>
    <row r="86">
      <c r="A86" s="13" t="inlineStr">
        <is>
          <t>New York Yankees</t>
        </is>
      </c>
      <c r="B86" s="13" t="inlineStr">
        <is>
          <t>Wayne Tolleson</t>
        </is>
      </c>
      <c r="C86" s="13" t="inlineStr">
        <is>
          <t>Topps 1988</t>
        </is>
      </c>
      <c r="D86" s="14" t="inlineStr">
        <is>
          <t>121</t>
        </is>
      </c>
      <c r="E86" s="13" t="inlineStr">
        <is>
          <t>Base</t>
        </is>
      </c>
      <c r="F86" s="15" t="n">
        <v>1</v>
      </c>
    </row>
    <row r="87">
      <c r="A87" s="16" t="inlineStr">
        <is>
          <t>New York Yankees</t>
        </is>
      </c>
      <c r="B87" s="16" t="inlineStr">
        <is>
          <t>Yankees Checklist</t>
        </is>
      </c>
      <c r="C87" s="16" t="inlineStr">
        <is>
          <t>Upper Deck 1991</t>
        </is>
      </c>
      <c r="D87" s="17" t="inlineStr">
        <is>
          <t>98</t>
        </is>
      </c>
      <c r="E87" s="16" t="inlineStr">
        <is>
          <t>Base</t>
        </is>
      </c>
      <c r="F87" s="18" t="n">
        <v>1</v>
      </c>
    </row>
    <row r="88">
      <c r="A88" s="10" t="inlineStr">
        <is>
          <t>Total General</t>
        </is>
      </c>
      <c r="B88" s="19" t="n"/>
      <c r="C88" s="19" t="n"/>
      <c r="D88" s="19" t="n"/>
      <c r="E88" s="19" t="n"/>
      <c r="F88" s="20">
        <f>SUM(F2:F87)</f>
        <v/>
      </c>
    </row>
  </sheetData>
  <autoFilter ref="A1:F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2026-05-16T11:33:41Z</dcterms:created>
  <dcterms:modified xmlns:dcterms="http://purl.org/dc/terms/" xmlns:xsi="http://www.w3.org/2001/XMLSchema-instance" xsi:type="dcterms:W3CDTF">2026-05-16T11:33:41Z</dcterms:modified>
</cp:coreProperties>
</file>